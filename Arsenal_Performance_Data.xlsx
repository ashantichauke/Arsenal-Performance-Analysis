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f0db77af6bfe6/Desktop/"/>
    </mc:Choice>
  </mc:AlternateContent>
  <xr:revisionPtr revIDLastSave="33" documentId="13_ncr:2001_{2800A3B4-994B-1849-96A4-43AB4A2623EB}" xr6:coauthVersionLast="47" xr6:coauthVersionMax="47" xr10:uidLastSave="{6DC4123E-20DF-482E-8A29-A2D5E42DCAEC}"/>
  <bookViews>
    <workbookView xWindow="9510" yWindow="0" windowWidth="9780" windowHeight="10170" xr2:uid="{1FE9E225-7A2B-F94B-A804-F455FE65A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N7" i="1"/>
  <c r="O7" i="1"/>
  <c r="N2" i="1"/>
  <c r="N3" i="1"/>
  <c r="O4" i="1"/>
  <c r="O2" i="1"/>
  <c r="O3" i="1"/>
  <c r="O5" i="1"/>
  <c r="O6" i="1"/>
  <c r="N4" i="1"/>
  <c r="N5" i="1"/>
  <c r="N6" i="1"/>
  <c r="M2" i="1"/>
  <c r="M3" i="1"/>
  <c r="M4" i="1"/>
  <c r="M5" i="1"/>
  <c r="M6" i="1"/>
</calcChain>
</file>

<file path=xl/sharedStrings.xml><?xml version="1.0" encoding="utf-8"?>
<sst xmlns="http://schemas.openxmlformats.org/spreadsheetml/2006/main" count="40" uniqueCount="31">
  <si>
    <t xml:space="preserve">Season </t>
  </si>
  <si>
    <t>Team</t>
  </si>
  <si>
    <t xml:space="preserve">Goals Scored </t>
  </si>
  <si>
    <t xml:space="preserve">Goals Conceded </t>
  </si>
  <si>
    <t>Draws</t>
  </si>
  <si>
    <t>Losses</t>
  </si>
  <si>
    <t>2025/26</t>
  </si>
  <si>
    <t xml:space="preserve">Arsenal </t>
  </si>
  <si>
    <t>Points</t>
  </si>
  <si>
    <t>2022/23</t>
  </si>
  <si>
    <t>2021/22</t>
  </si>
  <si>
    <t xml:space="preserve">League Position </t>
  </si>
  <si>
    <t>2023/24</t>
  </si>
  <si>
    <t>2024/25</t>
  </si>
  <si>
    <t>2020/21</t>
  </si>
  <si>
    <t xml:space="preserve">Goal Difference </t>
  </si>
  <si>
    <t xml:space="preserve">Points Per Game </t>
  </si>
  <si>
    <t>Wins</t>
  </si>
  <si>
    <t>Season Order</t>
  </si>
  <si>
    <t>Season Type</t>
  </si>
  <si>
    <t>Completed</t>
  </si>
  <si>
    <t xml:space="preserve">Completed </t>
  </si>
  <si>
    <t>Partial</t>
  </si>
  <si>
    <t>Win Percentage</t>
  </si>
  <si>
    <t>Top Scorer</t>
  </si>
  <si>
    <t>Top Scorer Goals</t>
  </si>
  <si>
    <t>Bukayo Saka</t>
  </si>
  <si>
    <t>Martin Ødegaard</t>
  </si>
  <si>
    <t>Alexandre Lacazette</t>
  </si>
  <si>
    <t>Kai Havertz</t>
  </si>
  <si>
    <t>Viktor Gyökeres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</si>
</sst>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DEB5E-C5EC-8243-B931-4CB4F65930E9}" name="Table1" displayName="Table1" ref="A1:P7" totalsRowShown="0">
  <autoFilter ref="A1:P7" xr:uid="{DAEDEB5E-C5EC-8243-B931-4CB4F65930E9}"/>
  <tableColumns count="16">
    <tableColumn id="1" xr3:uid="{36FD2D74-5375-624F-BA5F-5DC7322EB58F}" name="Season "/>
    <tableColumn id="14" xr3:uid="{6852BC86-6CFD-EE44-845E-FEA81E61C2AA}" name="Season Order"/>
    <tableColumn id="2" xr3:uid="{13E0799A-0A74-9848-80D4-E66BEA195F99}" name="Team"/>
    <tableColumn id="17" xr3:uid="{1F7DE33E-1F16-4080-A844-1060E5C9C6D1}" name="Top Scorer"/>
    <tableColumn id="16" xr3:uid="{C00B3969-99A4-4914-B970-6419B1B5FF19}" name="Top Scorer Goals"/>
    <tableColumn id="3" xr3:uid="{3B1058F9-B76F-0749-B3E0-6A9A70BB1BA2}" name="Goals Scored "/>
    <tableColumn id="4" xr3:uid="{3211E6B9-3F71-6E4A-B3AA-EDF4846AFCF0}" name="Goals Conceded "/>
    <tableColumn id="5" xr3:uid="{8B22E7D3-CDC3-5B4B-AF23-CC56B2B05FA2}" name="Wins"/>
    <tableColumn id="6" xr3:uid="{87806595-EA88-764B-A94C-46C461FAC68C}" name="Draws"/>
    <tableColumn id="7" xr3:uid="{DAD79CE4-6463-A346-9A73-0EC3E0A12C48}" name="Losses"/>
    <tableColumn id="9" xr3:uid="{CB29BA87-14DC-D64E-A88F-57CBAF1CE572}" name="Points"/>
    <tableColumn id="8" xr3:uid="{9E26D39E-A7EF-504B-A87E-E6B71BB99322}" name="League Position "/>
    <tableColumn id="11" xr3:uid="{C1F13BCA-F986-794A-8F23-03437FCF056A}" name="Goal Difference " dataDxfId="3">
      <calculatedColumnFormula>Table1[[#This Row],[Goals Scored ]] - Table1[[#This Row],[Goals Conceded ]]</calculatedColumnFormula>
    </tableColumn>
    <tableColumn id="12" xr3:uid="{160E20B8-7C3A-BC4F-8671-18F4A88E2A3E}" name="Points Per Game " dataDxfId="2">
      <calculatedColumnFormula>Table1[[#This Row],[Points]] / 38</calculatedColumnFormula>
    </tableColumn>
    <tableColumn id="13" xr3:uid="{10D15C05-91A5-DE43-B917-E7108EE0780A}" name="Win Percentage" dataDxfId="1">
      <calculatedColumnFormula>Table1[[#This Row],[Wins]]/38</calculatedColumnFormula>
    </tableColumn>
    <tableColumn id="15" xr3:uid="{6E43BEEE-42F8-9B46-8EC7-F3AACD6D3721}" name="Season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0143-8404-8547-B48A-F8D31B382C0C}">
  <dimension ref="A1:P7"/>
  <sheetViews>
    <sheetView tabSelected="1" topLeftCell="E1" zoomScale="80" zoomScaleNormal="80" workbookViewId="0">
      <selection activeCell="F11" sqref="F11"/>
    </sheetView>
  </sheetViews>
  <sheetFormatPr defaultColWidth="10.6640625" defaultRowHeight="16" x14ac:dyDescent="0.4"/>
  <cols>
    <col min="2" max="2" width="14" customWidth="1"/>
    <col min="4" max="4" width="17.6640625" customWidth="1"/>
    <col min="5" max="5" width="16.83203125" customWidth="1"/>
    <col min="6" max="6" width="14.6640625" customWidth="1"/>
    <col min="7" max="7" width="17.33203125" customWidth="1"/>
    <col min="8" max="8" width="10.6640625" customWidth="1"/>
    <col min="12" max="12" width="16.5" customWidth="1"/>
    <col min="13" max="13" width="16.1640625" customWidth="1"/>
    <col min="14" max="14" width="17.33203125" customWidth="1"/>
    <col min="15" max="15" width="15.6640625" customWidth="1"/>
    <col min="16" max="16" width="13" customWidth="1"/>
  </cols>
  <sheetData>
    <row r="1" spans="1:16" x14ac:dyDescent="0.4">
      <c r="A1" t="s">
        <v>0</v>
      </c>
      <c r="B1" t="s">
        <v>18</v>
      </c>
      <c r="C1" t="s">
        <v>1</v>
      </c>
      <c r="D1" t="s">
        <v>24</v>
      </c>
      <c r="E1" t="s">
        <v>25</v>
      </c>
      <c r="F1" t="s">
        <v>2</v>
      </c>
      <c r="G1" t="s">
        <v>3</v>
      </c>
      <c r="H1" t="s">
        <v>17</v>
      </c>
      <c r="I1" t="s">
        <v>4</v>
      </c>
      <c r="J1" t="s">
        <v>5</v>
      </c>
      <c r="K1" t="s">
        <v>8</v>
      </c>
      <c r="L1" t="s">
        <v>11</v>
      </c>
      <c r="M1" t="s">
        <v>15</v>
      </c>
      <c r="N1" t="s">
        <v>16</v>
      </c>
      <c r="O1" t="s">
        <v>23</v>
      </c>
      <c r="P1" t="s">
        <v>19</v>
      </c>
    </row>
    <row r="2" spans="1:16" x14ac:dyDescent="0.4">
      <c r="A2" t="s">
        <v>14</v>
      </c>
      <c r="B2">
        <v>1</v>
      </c>
      <c r="C2" t="s">
        <v>7</v>
      </c>
      <c r="D2" t="s">
        <v>28</v>
      </c>
      <c r="E2">
        <v>13</v>
      </c>
      <c r="F2">
        <v>55</v>
      </c>
      <c r="G2">
        <v>39</v>
      </c>
      <c r="H2">
        <v>18</v>
      </c>
      <c r="I2">
        <v>7</v>
      </c>
      <c r="J2">
        <v>13</v>
      </c>
      <c r="K2">
        <v>61</v>
      </c>
      <c r="L2">
        <v>8</v>
      </c>
      <c r="M2">
        <f>Table1[[#This Row],[Goals Scored ]] - Table1[[#This Row],[Goals Conceded ]]</f>
        <v>16</v>
      </c>
      <c r="N2" s="1">
        <f>Table1[[#This Row],[Points]] / 38</f>
        <v>1.6052631578947369</v>
      </c>
      <c r="O2" s="2">
        <f>Table1[[#This Row],[Wins]]/38</f>
        <v>0.47368421052631576</v>
      </c>
      <c r="P2" s="2" t="s">
        <v>20</v>
      </c>
    </row>
    <row r="3" spans="1:16" x14ac:dyDescent="0.4">
      <c r="A3" t="s">
        <v>10</v>
      </c>
      <c r="B3">
        <v>2</v>
      </c>
      <c r="C3" t="s">
        <v>7</v>
      </c>
      <c r="D3" t="s">
        <v>26</v>
      </c>
      <c r="E3">
        <v>11</v>
      </c>
      <c r="F3">
        <v>61</v>
      </c>
      <c r="G3">
        <v>48</v>
      </c>
      <c r="H3">
        <v>22</v>
      </c>
      <c r="I3">
        <v>3</v>
      </c>
      <c r="J3">
        <v>13</v>
      </c>
      <c r="K3">
        <v>69</v>
      </c>
      <c r="L3">
        <v>5</v>
      </c>
      <c r="M3">
        <f>Table1[[#This Row],[Goals Scored ]] - Table1[[#This Row],[Goals Conceded ]]</f>
        <v>13</v>
      </c>
      <c r="N3" s="1">
        <f>Table1[[#This Row],[Points]] / 38</f>
        <v>1.8157894736842106</v>
      </c>
      <c r="O3" s="2">
        <f>Table1[[#This Row],[Wins]]/38</f>
        <v>0.57894736842105265</v>
      </c>
      <c r="P3" s="2" t="s">
        <v>20</v>
      </c>
    </row>
    <row r="4" spans="1:16" x14ac:dyDescent="0.4">
      <c r="A4" t="s">
        <v>9</v>
      </c>
      <c r="B4">
        <v>3</v>
      </c>
      <c r="C4" t="s">
        <v>7</v>
      </c>
      <c r="D4" t="s">
        <v>27</v>
      </c>
      <c r="E4">
        <v>15</v>
      </c>
      <c r="F4">
        <v>88</v>
      </c>
      <c r="G4">
        <v>43</v>
      </c>
      <c r="H4">
        <v>26</v>
      </c>
      <c r="I4">
        <v>6</v>
      </c>
      <c r="J4">
        <v>6</v>
      </c>
      <c r="K4">
        <v>84</v>
      </c>
      <c r="L4">
        <v>2</v>
      </c>
      <c r="M4">
        <f>Table1[[#This Row],[Goals Scored ]] - Table1[[#This Row],[Goals Conceded ]]</f>
        <v>45</v>
      </c>
      <c r="N4" s="1">
        <f>Table1[[#This Row],[Points]] / 38</f>
        <v>2.2105263157894739</v>
      </c>
      <c r="O4" s="2">
        <f>Table1[[#This Row],[Wins]]/38</f>
        <v>0.68421052631578949</v>
      </c>
      <c r="P4" s="2" t="s">
        <v>21</v>
      </c>
    </row>
    <row r="5" spans="1:16" x14ac:dyDescent="0.4">
      <c r="A5" t="s">
        <v>12</v>
      </c>
      <c r="B5">
        <v>4</v>
      </c>
      <c r="C5" t="s">
        <v>7</v>
      </c>
      <c r="D5" t="s">
        <v>26</v>
      </c>
      <c r="E5">
        <v>16</v>
      </c>
      <c r="F5">
        <v>91</v>
      </c>
      <c r="G5">
        <v>29</v>
      </c>
      <c r="H5">
        <v>28</v>
      </c>
      <c r="I5">
        <v>5</v>
      </c>
      <c r="J5">
        <v>5</v>
      </c>
      <c r="K5">
        <v>89</v>
      </c>
      <c r="L5">
        <v>2</v>
      </c>
      <c r="M5">
        <f>Table1[[#This Row],[Goals Scored ]] - Table1[[#This Row],[Goals Conceded ]]</f>
        <v>62</v>
      </c>
      <c r="N5" s="1">
        <f>Table1[[#This Row],[Points]] / 38</f>
        <v>2.3421052631578947</v>
      </c>
      <c r="O5" s="2">
        <f>Table1[[#This Row],[Wins]]/38</f>
        <v>0.73684210526315785</v>
      </c>
      <c r="P5" s="2" t="s">
        <v>21</v>
      </c>
    </row>
    <row r="6" spans="1:16" x14ac:dyDescent="0.4">
      <c r="A6" t="s">
        <v>13</v>
      </c>
      <c r="B6">
        <v>5</v>
      </c>
      <c r="C6" t="s">
        <v>7</v>
      </c>
      <c r="D6" t="s">
        <v>29</v>
      </c>
      <c r="E6">
        <v>9</v>
      </c>
      <c r="F6">
        <v>69</v>
      </c>
      <c r="G6">
        <v>34</v>
      </c>
      <c r="H6">
        <v>20</v>
      </c>
      <c r="I6">
        <v>14</v>
      </c>
      <c r="J6">
        <v>4</v>
      </c>
      <c r="K6">
        <v>74</v>
      </c>
      <c r="L6">
        <v>2</v>
      </c>
      <c r="M6">
        <f>Table1[[#This Row],[Goals Scored ]] - Table1[[#This Row],[Goals Conceded ]]</f>
        <v>35</v>
      </c>
      <c r="N6" s="1">
        <f>Table1[[#This Row],[Points]] / 38</f>
        <v>1.9473684210526316</v>
      </c>
      <c r="O6" s="2">
        <f>Table1[[#This Row],[Wins]]/38</f>
        <v>0.52631578947368418</v>
      </c>
      <c r="P6" s="2" t="s">
        <v>20</v>
      </c>
    </row>
    <row r="7" spans="1:16" x14ac:dyDescent="0.4">
      <c r="A7" t="s">
        <v>6</v>
      </c>
      <c r="B7">
        <v>6</v>
      </c>
      <c r="C7" t="s">
        <v>7</v>
      </c>
      <c r="D7" t="s">
        <v>30</v>
      </c>
      <c r="E7">
        <v>12</v>
      </c>
      <c r="F7">
        <v>63</v>
      </c>
      <c r="G7">
        <v>26</v>
      </c>
      <c r="H7">
        <v>21</v>
      </c>
      <c r="I7">
        <v>7</v>
      </c>
      <c r="J7">
        <v>5</v>
      </c>
      <c r="K7">
        <v>70</v>
      </c>
      <c r="L7">
        <v>1</v>
      </c>
      <c r="M7">
        <f>Table1[[#This Row],[Goals Scored ]] - Table1[[#This Row],[Goals Conceded ]]</f>
        <v>37</v>
      </c>
      <c r="N7" s="1">
        <f>Table1[[#This Row],[Points]] / 38</f>
        <v>1.8421052631578947</v>
      </c>
      <c r="O7" s="2">
        <f>Table1[[#This Row],[Wins]]/38</f>
        <v>0.55263157894736847</v>
      </c>
      <c r="P7" s="2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Ashanti Chauke (s5313629)</dc:creator>
  <cp:lastModifiedBy>Talisha Antonio</cp:lastModifiedBy>
  <dcterms:created xsi:type="dcterms:W3CDTF">2026-03-19T16:05:49Z</dcterms:created>
  <dcterms:modified xsi:type="dcterms:W3CDTF">2026-04-21T16:29:13Z</dcterms:modified>
</cp:coreProperties>
</file>